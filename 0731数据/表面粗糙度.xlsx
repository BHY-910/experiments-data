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esktop\0731数据\"/>
    </mc:Choice>
  </mc:AlternateContent>
  <xr:revisionPtr revIDLastSave="0" documentId="13_ncr:1_{FD5C8CC0-EDA7-4355-A963-15A4CC21439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B8" i="1"/>
  <c r="C8" i="1"/>
  <c r="B7" i="1"/>
  <c r="C9" i="1"/>
  <c r="B9" i="1"/>
  <c r="C6" i="1"/>
  <c r="B6" i="1"/>
  <c r="C5" i="1"/>
  <c r="B5" i="1"/>
  <c r="C4" i="1"/>
  <c r="B4" i="1"/>
</calcChain>
</file>

<file path=xl/sharedStrings.xml><?xml version="1.0" encoding="utf-8"?>
<sst xmlns="http://schemas.openxmlformats.org/spreadsheetml/2006/main" count="4" uniqueCount="4">
  <si>
    <t>铣削长度/m</t>
    <phoneticPr fontId="1" type="noConversion"/>
  </si>
  <si>
    <t>Ra/μm</t>
    <phoneticPr fontId="1" type="noConversion"/>
  </si>
  <si>
    <t>Rq/μm</t>
    <phoneticPr fontId="1" type="noConversion"/>
  </si>
  <si>
    <t>平均切削力/N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</si>
</sst>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表面粗糙度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2.8</c:v>
                </c:pt>
              </c:numCache>
            </c:numRef>
          </c:xVal>
          <c:yVal>
            <c:numRef>
              <c:f>Sheet1!$B$2:$B$9</c:f>
              <c:numCache>
                <c:formatCode>General</c:formatCode>
                <c:ptCount val="8"/>
                <c:pt idx="0">
                  <c:v>0.96899999999999997</c:v>
                </c:pt>
                <c:pt idx="1">
                  <c:v>1.5289999999999999</c:v>
                </c:pt>
                <c:pt idx="2">
                  <c:v>1.0605</c:v>
                </c:pt>
                <c:pt idx="3">
                  <c:v>1.1779999999999999</c:v>
                </c:pt>
                <c:pt idx="4">
                  <c:v>1.4546666666666666</c:v>
                </c:pt>
                <c:pt idx="5">
                  <c:v>2.2565</c:v>
                </c:pt>
                <c:pt idx="6">
                  <c:v>1.0509999999999999</c:v>
                </c:pt>
                <c:pt idx="7">
                  <c:v>1.2152499999999999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26-48B8-BE50-524A4465A4C1}"/>
            </c:ext>
          </c:extLst>
        </c:ser>
        <c:ser>
          <c:idx val="1"/>
          <c:order val="1"/>
          <c:tx>
            <c:v>Rq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Sheet1!$A$2:$A$9</c:f>
              <c:numCache>
                <c:formatCode>General</c:formatCode>
                <c:ptCount val="8"/>
                <c:pt idx="0">
                  <c:v>0.4</c:v>
                </c:pt>
                <c:pt idx="1">
                  <c:v>0.8</c:v>
                </c:pt>
                <c:pt idx="2">
                  <c:v>1.2</c:v>
                </c:pt>
                <c:pt idx="3">
                  <c:v>1.6</c:v>
                </c:pt>
                <c:pt idx="4">
                  <c:v>2</c:v>
                </c:pt>
                <c:pt idx="5">
                  <c:v>2.2000000000000002</c:v>
                </c:pt>
                <c:pt idx="6">
                  <c:v>2.4</c:v>
                </c:pt>
                <c:pt idx="7">
                  <c:v>2.8</c:v>
                </c:pt>
              </c:numCache>
            </c:numRef>
          </c:xVal>
          <c:yVal>
            <c:numRef>
              <c:f>Sheet1!$C$2:$C$9</c:f>
              <c:numCache>
                <c:formatCode>General</c:formatCode>
                <c:ptCount val="8"/>
                <c:pt idx="0">
                  <c:v>1.5329999999999999</c:v>
                </c:pt>
                <c:pt idx="1">
                  <c:v>2.09</c:v>
                </c:pt>
                <c:pt idx="2">
                  <c:v>1.5365</c:v>
                </c:pt>
                <c:pt idx="3">
                  <c:v>1.603</c:v>
                </c:pt>
                <c:pt idx="4">
                  <c:v>2.2746666666666671</c:v>
                </c:pt>
                <c:pt idx="5">
                  <c:v>3.4474999999999998</c:v>
                </c:pt>
                <c:pt idx="6">
                  <c:v>1.3959999999999999</c:v>
                </c:pt>
                <c:pt idx="7">
                  <c:v>1.8342499999999999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D26-48B8-BE50-524A4465A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436015"/>
        <c:axId val="1623677232"/>
      </c:scatterChart>
      <c:valAx>
        <c:axId val="185436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铣削长度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3677232"/>
        <c:crosses val="autoZero"/>
        <c:crossBetween val="midCat"/>
      </c:valAx>
      <c:valAx>
        <c:axId val="162367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粗糙度值</a:t>
                </a:r>
                <a:r>
                  <a:rPr lang="en-US" altLang="zh-CN"/>
                  <a:t>/μm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5436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152400</xdr:rowOff>
    </xdr:from>
    <xdr:to>
      <xdr:col>4</xdr:col>
      <xdr:colOff>596900</xdr:colOff>
      <xdr:row>33</xdr:row>
      <xdr:rowOff>50800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E90625E-C411-0758-6866-5EB2533B3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D11" sqref="D11"/>
    </sheetView>
  </sheetViews>
  <sheetFormatPr defaultRowHeight="14" x14ac:dyDescent="0.3"/>
  <cols>
    <col min="1" max="1" width="12.9140625" customWidth="1"/>
    <col min="2" max="2" width="15.08203125" customWidth="1"/>
    <col min="3" max="3" width="15.5" customWidth="1"/>
    <col min="4" max="4" width="29.25" customWidth="1"/>
    <col min="5" max="5" width="20.9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0.4</v>
      </c>
      <c r="B2">
        <v>0.96899999999999997</v>
      </c>
      <c r="C2">
        <v>1.5329999999999999</v>
      </c>
    </row>
    <row r="3" spans="1:4" x14ac:dyDescent="0.3">
      <c r="A3">
        <v>0.8</v>
      </c>
      <c r="B3">
        <v>1.5289999999999999</v>
      </c>
      <c r="C3">
        <v>2.09</v>
      </c>
    </row>
    <row r="4" spans="1:4" x14ac:dyDescent="0.3">
      <c r="A4">
        <v>1.2</v>
      </c>
      <c r="B4">
        <f>(1.22+0.901)/2</f>
        <v>1.0605</v>
      </c>
      <c r="C4">
        <f>(1.222+1.851)/2</f>
        <v>1.5365</v>
      </c>
    </row>
    <row r="5" spans="1:4" x14ac:dyDescent="0.3">
      <c r="A5">
        <v>1.6</v>
      </c>
      <c r="B5">
        <f>(1+1.152+1.382)/3</f>
        <v>1.1779999999999999</v>
      </c>
      <c r="C5">
        <f>(1.297+1.517+1.995)/3</f>
        <v>1.603</v>
      </c>
    </row>
    <row r="6" spans="1:4" x14ac:dyDescent="0.3">
      <c r="A6">
        <v>2</v>
      </c>
      <c r="B6">
        <f>(1.535+1.208+1.621)/3</f>
        <v>1.4546666666666666</v>
      </c>
      <c r="C6">
        <f>(2.636+1.69+2.498)/3</f>
        <v>2.2746666666666671</v>
      </c>
    </row>
    <row r="7" spans="1:4" x14ac:dyDescent="0.3">
      <c r="A7">
        <v>2.2000000000000002</v>
      </c>
      <c r="B7">
        <f>(2.468+2.045)/2</f>
        <v>2.2565</v>
      </c>
      <c r="C7">
        <f>(3.992+2.903)/2</f>
        <v>3.4474999999999998</v>
      </c>
    </row>
    <row r="8" spans="1:4" x14ac:dyDescent="0.3">
      <c r="A8">
        <v>2.4</v>
      </c>
      <c r="B8">
        <f>(1.077+1.025)/2</f>
        <v>1.0509999999999999</v>
      </c>
      <c r="C8">
        <f>(1.467+1.325)/2</f>
        <v>1.3959999999999999</v>
      </c>
    </row>
    <row r="9" spans="1:4" x14ac:dyDescent="0.3">
      <c r="A9">
        <v>2.8</v>
      </c>
      <c r="B9">
        <f>(1.55+1.032+1.137+1.142)/4</f>
        <v>1.2152499999999999</v>
      </c>
      <c r="C9">
        <f>(1.492+1.662+1.943+2.24)/4</f>
        <v>1.8342499999999999</v>
      </c>
    </row>
    <row r="10" spans="1:4" x14ac:dyDescent="0.3">
      <c r="A10">
        <v>3.2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BHY</dc:creator>
  <cp:lastModifiedBy>yu zhang</cp:lastModifiedBy>
  <dcterms:created xsi:type="dcterms:W3CDTF">2015-06-05T18:19:34Z</dcterms:created>
  <dcterms:modified xsi:type="dcterms:W3CDTF">2026-08-02T15:14:04Z</dcterms:modified>
</cp:coreProperties>
</file>