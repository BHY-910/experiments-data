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Desktop\zy1015\"/>
    </mc:Choice>
  </mc:AlternateContent>
  <xr:revisionPtr revIDLastSave="0" documentId="13_ncr:1_{3CBB44D9-6204-41DA-A895-EF21FFDC99E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9" i="1" l="1"/>
  <c r="J33" i="1"/>
  <c r="J34" i="1"/>
  <c r="J35" i="1"/>
  <c r="J36" i="1"/>
  <c r="J40" i="1"/>
  <c r="J37" i="1"/>
  <c r="J38" i="1"/>
  <c r="J39" i="1"/>
  <c r="J22" i="1"/>
  <c r="J23" i="1"/>
  <c r="J25" i="1"/>
  <c r="J26" i="1"/>
  <c r="J27" i="1"/>
  <c r="J28" i="1"/>
  <c r="J30" i="1"/>
  <c r="J31" i="1"/>
  <c r="J32" i="1"/>
  <c r="K31" i="1"/>
  <c r="K32" i="1"/>
  <c r="K33" i="1"/>
  <c r="K35" i="1"/>
  <c r="K36" i="1"/>
  <c r="K37" i="1"/>
  <c r="K38" i="1"/>
  <c r="K39" i="1"/>
  <c r="K25" i="1"/>
  <c r="K26" i="1"/>
  <c r="K27" i="1"/>
  <c r="K28" i="1"/>
  <c r="K29" i="1"/>
  <c r="K30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2" i="1"/>
</calcChain>
</file>

<file path=xl/sharedStrings.xml><?xml version="1.0" encoding="utf-8"?>
<sst xmlns="http://schemas.openxmlformats.org/spreadsheetml/2006/main" count="79" uniqueCount="44">
  <si>
    <t>组别</t>
    <phoneticPr fontId="1" type="noConversion"/>
  </si>
  <si>
    <t>表面</t>
    <phoneticPr fontId="1" type="noConversion"/>
  </si>
  <si>
    <t>A</t>
    <phoneticPr fontId="1" type="noConversion"/>
  </si>
  <si>
    <t>B</t>
    <phoneticPr fontId="1" type="noConversion"/>
  </si>
  <si>
    <t>备注：A面指观察到波浪形纤维的面 B面指观察到平行直线纤维的面</t>
    <phoneticPr fontId="1" type="noConversion"/>
  </si>
  <si>
    <t>切深/um</t>
    <phoneticPr fontId="1" type="noConversion"/>
  </si>
  <si>
    <t>进给mm/min</t>
    <phoneticPr fontId="1" type="noConversion"/>
  </si>
  <si>
    <t>切削速度/rpm</t>
    <phoneticPr fontId="1" type="noConversion"/>
  </si>
  <si>
    <t>ra/um</t>
    <phoneticPr fontId="1" type="noConversion"/>
  </si>
  <si>
    <t>刀具前角为0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</si>
  <si>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</si>
  <si>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</si>
  <si>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</si>
  <si>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q4</t>
    <phoneticPr fontId="1" type="noConversion"/>
  </si>
  <si>
    <t>q5</t>
    <phoneticPr fontId="1" type="noConversion"/>
  </si>
  <si>
    <t>q6</t>
    <phoneticPr fontId="1" type="noConversion"/>
  </si>
  <si>
    <t>q7</t>
    <phoneticPr fontId="1" type="noConversion"/>
  </si>
  <si>
    <t>q8</t>
    <phoneticPr fontId="1" type="noConversion"/>
  </si>
  <si>
    <t>h1</t>
    <phoneticPr fontId="1" type="noConversion"/>
  </si>
  <si>
    <t>h2</t>
    <phoneticPr fontId="1" type="noConversion"/>
  </si>
  <si>
    <t>h3</t>
    <phoneticPr fontId="1" type="noConversion"/>
  </si>
  <si>
    <t>h4</t>
    <phoneticPr fontId="1" type="noConversion"/>
  </si>
  <si>
    <t>h5</t>
    <phoneticPr fontId="1" type="noConversion"/>
  </si>
  <si>
    <t>h6</t>
    <phoneticPr fontId="1" type="noConversion"/>
  </si>
  <si>
    <t>h7</t>
    <phoneticPr fontId="1" type="noConversion"/>
  </si>
  <si>
    <t>h8</t>
    <phoneticPr fontId="1" type="noConversion"/>
  </si>
  <si>
    <t>q组表示前角为＋5，h组表示前角为-5</t>
    <phoneticPr fontId="1" type="noConversion"/>
  </si>
  <si>
    <t>ql（铣平）</t>
    <phoneticPr fontId="1" type="noConversion"/>
  </si>
  <si>
    <t>qs（铣平）</t>
    <phoneticPr fontId="1" type="noConversion"/>
  </si>
  <si>
    <t>平均切削力Fxm/N</t>
    <phoneticPr fontId="1" type="noConversion"/>
  </si>
  <si>
    <t>峰值切削力Fxmax</t>
    <phoneticPr fontId="1" type="noConversion"/>
  </si>
  <si>
    <t>Fym</t>
    <phoneticPr fontId="1" type="noConversion"/>
  </si>
  <si>
    <t>Fymax</t>
    <phoneticPr fontId="1" type="noConversion"/>
  </si>
  <si>
    <t>存在力异常突变</t>
    <phoneticPr fontId="1" type="noConversion"/>
  </si>
  <si>
    <t>剧烈颤振</t>
    <phoneticPr fontId="1" type="noConversion"/>
  </si>
  <si>
    <t>疑似空切</t>
    <phoneticPr fontId="1" type="noConversion"/>
  </si>
  <si>
    <t>x</t>
    <phoneticPr fontId="1" type="noConversion"/>
  </si>
  <si>
    <t>颤振严重</t>
    <phoneticPr fontId="1" type="noConversion"/>
  </si>
  <si>
    <t>平均合切削力F</t>
    <phoneticPr fontId="1" type="noConversion"/>
  </si>
  <si>
    <t>此边粗糙度有两种不同的面</t>
    <phoneticPr fontId="1" type="noConversion"/>
  </si>
  <si>
    <t>另一种是与表面垂直的纤维，粗糙度较大</t>
    <phoneticPr fontId="1" type="noConversion"/>
  </si>
  <si>
    <t>一种是面内横向弯曲纤维，粗糙度较小</t>
    <phoneticPr fontId="1" type="noConversion"/>
  </si>
  <si>
    <t>同样的，粗糙度有两种</t>
    <phoneticPr fontId="1" type="noConversion"/>
  </si>
  <si>
    <t>较低的约0.6，较高的约3.6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</si>
</sst>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rgb="FF00B05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4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ktop\zy1015\&#31895;&#31961;&#24230;\1015&#34920;&#38754;&#31895;&#25805;&#24230;.xlsx" TargetMode="External"/><Relationship Id="rId1" Type="http://schemas.openxmlformats.org/officeDocument/2006/relationships/externalLinkPath" Target="&#31895;&#31961;&#24230;/1015&#34920;&#38754;&#31895;&#25805;&#2423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0">
          <cell r="B20">
            <v>0.63300000000000001</v>
          </cell>
          <cell r="C20">
            <v>0.45700000000000002</v>
          </cell>
        </row>
        <row r="21">
          <cell r="B21">
            <v>0.59199999999999997</v>
          </cell>
        </row>
        <row r="22">
          <cell r="B22">
            <v>0.55700000000000005</v>
          </cell>
          <cell r="C22">
            <v>1.129</v>
          </cell>
        </row>
        <row r="23">
          <cell r="B23">
            <v>0.41899999999999998</v>
          </cell>
          <cell r="C23">
            <v>0.28000000000000003</v>
          </cell>
        </row>
        <row r="24">
          <cell r="B24">
            <v>0.32700000000000001</v>
          </cell>
          <cell r="C24">
            <v>0.65300000000000002</v>
          </cell>
        </row>
        <row r="25">
          <cell r="B25">
            <v>0.47</v>
          </cell>
          <cell r="C25">
            <v>1.4430000000000001</v>
          </cell>
        </row>
        <row r="26">
          <cell r="B26">
            <v>0.37</v>
          </cell>
          <cell r="C26">
            <v>0.91400000000000003</v>
          </cell>
        </row>
        <row r="27">
          <cell r="B27">
            <v>1.0249999999999999</v>
          </cell>
          <cell r="C27">
            <v>0.85</v>
          </cell>
        </row>
        <row r="28">
          <cell r="B28">
            <v>0.61099999999999999</v>
          </cell>
          <cell r="C28">
            <v>0.46100000000000002</v>
          </cell>
        </row>
        <row r="29">
          <cell r="B29">
            <v>0.436</v>
          </cell>
          <cell r="C29">
            <v>0.749</v>
          </cell>
        </row>
        <row r="30">
          <cell r="B30">
            <v>0.72499999999999998</v>
          </cell>
          <cell r="C30">
            <v>0.64900000000000002</v>
          </cell>
        </row>
        <row r="31">
          <cell r="B31">
            <v>0.68700000000000006</v>
          </cell>
          <cell r="C31">
            <v>0.50900000000000001</v>
          </cell>
        </row>
        <row r="32">
          <cell r="B32">
            <v>0.81599999999999995</v>
          </cell>
          <cell r="C32">
            <v>0.70499999999999996</v>
          </cell>
        </row>
        <row r="33">
          <cell r="C33">
            <v>1.9530000000000001</v>
          </cell>
        </row>
        <row r="34">
          <cell r="B34">
            <v>0.68700000000000006</v>
          </cell>
        </row>
        <row r="35">
          <cell r="B35">
            <v>1.0680000000000001</v>
          </cell>
          <cell r="C35">
            <v>0.53100000000000003</v>
          </cell>
        </row>
        <row r="36">
          <cell r="C36">
            <v>0.47</v>
          </cell>
        </row>
        <row r="37">
          <cell r="B37">
            <v>1.4</v>
          </cell>
          <cell r="C37">
            <v>1.153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abSelected="1" workbookViewId="0">
      <selection activeCell="O36" sqref="O36"/>
    </sheetView>
  </sheetViews>
  <sheetFormatPr defaultRowHeight="14" x14ac:dyDescent="0.3"/>
  <cols>
    <col min="4" max="4" width="13.58203125" customWidth="1"/>
    <col min="5" max="5" width="12.58203125" bestFit="1" customWidth="1"/>
    <col min="6" max="6" width="15.33203125" customWidth="1"/>
    <col min="7" max="7" width="15.6640625" customWidth="1"/>
    <col min="8" max="8" width="15.1640625" customWidth="1"/>
    <col min="9" max="9" width="14" customWidth="1"/>
    <col min="11" max="11" width="16.1640625" customWidth="1"/>
  </cols>
  <sheetData>
    <row r="1" spans="1:13" x14ac:dyDescent="0.3">
      <c r="A1" t="s">
        <v>0</v>
      </c>
      <c r="B1" t="s">
        <v>1</v>
      </c>
      <c r="C1" t="s">
        <v>5</v>
      </c>
      <c r="D1" t="s">
        <v>7</v>
      </c>
      <c r="E1" t="s">
        <v>6</v>
      </c>
      <c r="F1" t="s">
        <v>29</v>
      </c>
      <c r="G1" t="s">
        <v>30</v>
      </c>
      <c r="H1" t="s">
        <v>31</v>
      </c>
      <c r="I1" t="s">
        <v>32</v>
      </c>
      <c r="J1" t="s">
        <v>8</v>
      </c>
      <c r="K1" t="s">
        <v>38</v>
      </c>
    </row>
    <row r="2" spans="1:13" x14ac:dyDescent="0.3">
      <c r="A2">
        <v>1</v>
      </c>
      <c r="B2" s="1" t="s">
        <v>2</v>
      </c>
      <c r="C2" s="1">
        <v>30</v>
      </c>
      <c r="D2" s="1">
        <v>3000</v>
      </c>
      <c r="E2" s="1">
        <v>30</v>
      </c>
      <c r="F2" s="1">
        <v>13</v>
      </c>
      <c r="G2" s="1">
        <v>22.8</v>
      </c>
      <c r="H2" s="1">
        <v>27.8</v>
      </c>
      <c r="I2" s="1">
        <v>46.3</v>
      </c>
      <c r="J2" s="1">
        <v>0.66199999999999992</v>
      </c>
      <c r="K2">
        <f>SQRT(F2^2+H2^2)</f>
        <v>30.68941185490527</v>
      </c>
    </row>
    <row r="3" spans="1:13" x14ac:dyDescent="0.3">
      <c r="A3">
        <v>2</v>
      </c>
      <c r="B3" s="1" t="s">
        <v>2</v>
      </c>
      <c r="C3" s="1">
        <v>50</v>
      </c>
      <c r="D3" s="1">
        <v>5000</v>
      </c>
      <c r="E3" s="1">
        <v>50</v>
      </c>
      <c r="F3" s="1">
        <v>16.350000000000001</v>
      </c>
      <c r="G3" s="1">
        <v>37.5</v>
      </c>
      <c r="H3" s="1">
        <v>32.799999999999997</v>
      </c>
      <c r="I3" s="1">
        <v>71.3</v>
      </c>
      <c r="J3" s="1">
        <v>0.6895</v>
      </c>
      <c r="K3">
        <f t="shared" ref="K3:K39" si="0">SQRT(F3^2+H3^2)</f>
        <v>36.649181436970728</v>
      </c>
    </row>
    <row r="4" spans="1:13" x14ac:dyDescent="0.3">
      <c r="A4">
        <v>3</v>
      </c>
      <c r="B4" s="1" t="s">
        <v>2</v>
      </c>
      <c r="C4" s="1">
        <v>80</v>
      </c>
      <c r="D4" s="1">
        <v>8000</v>
      </c>
      <c r="E4" s="1">
        <v>80</v>
      </c>
      <c r="F4" s="1">
        <v>24.6</v>
      </c>
      <c r="G4" s="1">
        <v>40.299999999999997</v>
      </c>
      <c r="H4" s="1">
        <v>52.5</v>
      </c>
      <c r="I4" s="1">
        <v>101.4</v>
      </c>
      <c r="J4" s="1">
        <v>0.40249999999999997</v>
      </c>
      <c r="K4">
        <f t="shared" si="0"/>
        <v>57.977668114542169</v>
      </c>
    </row>
    <row r="5" spans="1:13" x14ac:dyDescent="0.3">
      <c r="A5">
        <v>4</v>
      </c>
      <c r="B5" s="1" t="s">
        <v>2</v>
      </c>
      <c r="C5" s="1">
        <v>100</v>
      </c>
      <c r="D5" s="1">
        <v>10000</v>
      </c>
      <c r="E5" s="1">
        <v>100</v>
      </c>
      <c r="F5" s="1">
        <v>36.799999999999997</v>
      </c>
      <c r="G5" s="1">
        <v>44</v>
      </c>
      <c r="H5" s="1">
        <v>85.5</v>
      </c>
      <c r="I5" s="1">
        <v>106.3</v>
      </c>
      <c r="J5" s="1">
        <v>1.1946666666666665</v>
      </c>
      <c r="K5">
        <f t="shared" si="0"/>
        <v>93.083242315682142</v>
      </c>
    </row>
    <row r="6" spans="1:13" x14ac:dyDescent="0.3">
      <c r="A6">
        <v>5</v>
      </c>
      <c r="B6" t="s">
        <v>3</v>
      </c>
      <c r="C6">
        <v>30</v>
      </c>
      <c r="D6">
        <v>10000</v>
      </c>
      <c r="E6">
        <v>50</v>
      </c>
      <c r="F6">
        <v>6.8</v>
      </c>
      <c r="G6">
        <v>15.6</v>
      </c>
      <c r="H6">
        <v>28.3</v>
      </c>
      <c r="I6">
        <v>59.2</v>
      </c>
      <c r="J6">
        <v>0.76449999999999996</v>
      </c>
      <c r="K6">
        <f t="shared" si="0"/>
        <v>29.105497762450309</v>
      </c>
    </row>
    <row r="7" spans="1:13" x14ac:dyDescent="0.3">
      <c r="A7">
        <v>6</v>
      </c>
      <c r="B7" t="s">
        <v>3</v>
      </c>
      <c r="C7">
        <v>50</v>
      </c>
      <c r="D7">
        <v>8000</v>
      </c>
      <c r="E7">
        <v>30</v>
      </c>
      <c r="F7">
        <v>13.5</v>
      </c>
      <c r="G7">
        <v>31.7</v>
      </c>
      <c r="H7">
        <v>31.9</v>
      </c>
      <c r="I7">
        <v>76.099999999999994</v>
      </c>
      <c r="J7">
        <v>0.87349999999999994</v>
      </c>
      <c r="K7">
        <f t="shared" si="0"/>
        <v>34.6389953664941</v>
      </c>
    </row>
    <row r="8" spans="1:13" x14ac:dyDescent="0.3">
      <c r="A8">
        <v>7</v>
      </c>
      <c r="B8" t="s">
        <v>3</v>
      </c>
      <c r="C8">
        <v>80</v>
      </c>
      <c r="D8">
        <v>5000</v>
      </c>
      <c r="E8">
        <v>100</v>
      </c>
      <c r="F8">
        <v>29.7</v>
      </c>
      <c r="G8">
        <v>49.8</v>
      </c>
      <c r="H8">
        <v>67</v>
      </c>
      <c r="I8">
        <v>106</v>
      </c>
      <c r="J8">
        <v>0.66749999999999998</v>
      </c>
      <c r="K8">
        <f t="shared" si="0"/>
        <v>73.287720663150665</v>
      </c>
    </row>
    <row r="9" spans="1:13" x14ac:dyDescent="0.3">
      <c r="A9">
        <v>8</v>
      </c>
      <c r="B9" t="s">
        <v>3</v>
      </c>
      <c r="C9">
        <v>100</v>
      </c>
      <c r="D9">
        <v>3000</v>
      </c>
      <c r="E9">
        <v>80</v>
      </c>
      <c r="F9">
        <v>34.799999999999997</v>
      </c>
      <c r="G9">
        <v>44.9</v>
      </c>
      <c r="H9">
        <v>72.400000000000006</v>
      </c>
      <c r="I9">
        <v>91.8</v>
      </c>
      <c r="J9">
        <v>0.67799999999999994</v>
      </c>
      <c r="K9">
        <f t="shared" si="0"/>
        <v>80.329322168184646</v>
      </c>
    </row>
    <row r="10" spans="1:13" x14ac:dyDescent="0.3">
      <c r="A10">
        <v>9</v>
      </c>
      <c r="B10" s="1" t="s">
        <v>2</v>
      </c>
      <c r="C10" s="1">
        <v>30</v>
      </c>
      <c r="D10" s="1">
        <v>5000</v>
      </c>
      <c r="E10" s="1">
        <v>80</v>
      </c>
      <c r="F10" s="1">
        <v>13</v>
      </c>
      <c r="G10" s="1">
        <v>30.3</v>
      </c>
      <c r="H10" s="1">
        <v>30.6</v>
      </c>
      <c r="I10" s="1">
        <v>58.7</v>
      </c>
      <c r="J10" s="5">
        <v>0.66249999999999998</v>
      </c>
      <c r="K10">
        <f t="shared" si="0"/>
        <v>33.246954747765997</v>
      </c>
      <c r="L10" t="s">
        <v>39</v>
      </c>
    </row>
    <row r="11" spans="1:13" x14ac:dyDescent="0.3">
      <c r="A11">
        <v>10</v>
      </c>
      <c r="B11" s="1" t="s">
        <v>2</v>
      </c>
      <c r="C11" s="1">
        <v>50</v>
      </c>
      <c r="D11" s="1">
        <v>3000</v>
      </c>
      <c r="E11" s="1">
        <v>100</v>
      </c>
      <c r="F11" s="1">
        <v>26.8</v>
      </c>
      <c r="G11" s="1">
        <v>35.1</v>
      </c>
      <c r="H11" s="1">
        <v>60.5</v>
      </c>
      <c r="I11" s="1">
        <v>76.900000000000006</v>
      </c>
      <c r="J11" s="5">
        <v>2.875</v>
      </c>
      <c r="K11">
        <f t="shared" si="0"/>
        <v>66.170159437619617</v>
      </c>
      <c r="L11" t="s">
        <v>41</v>
      </c>
    </row>
    <row r="12" spans="1:13" x14ac:dyDescent="0.3">
      <c r="A12">
        <v>11</v>
      </c>
      <c r="B12" s="1" t="s">
        <v>2</v>
      </c>
      <c r="C12" s="1">
        <v>80</v>
      </c>
      <c r="D12" s="1">
        <v>10000</v>
      </c>
      <c r="E12" s="1">
        <v>30</v>
      </c>
      <c r="F12" s="1">
        <v>9.6999999999999993</v>
      </c>
      <c r="G12" s="1">
        <v>21.5</v>
      </c>
      <c r="H12" s="1">
        <v>34.5</v>
      </c>
      <c r="I12" s="1">
        <v>58.5</v>
      </c>
      <c r="J12" s="5">
        <v>2.6375000000000002</v>
      </c>
      <c r="K12">
        <f t="shared" si="0"/>
        <v>35.83768965767743</v>
      </c>
      <c r="L12" t="s">
        <v>40</v>
      </c>
    </row>
    <row r="13" spans="1:13" x14ac:dyDescent="0.3">
      <c r="A13">
        <v>12</v>
      </c>
      <c r="B13" s="1" t="s">
        <v>2</v>
      </c>
      <c r="C13" s="1">
        <v>100</v>
      </c>
      <c r="D13" s="1">
        <v>8000</v>
      </c>
      <c r="E13" s="1">
        <v>50</v>
      </c>
      <c r="F13" s="1">
        <v>12.4</v>
      </c>
      <c r="G13" s="1">
        <v>21.9</v>
      </c>
      <c r="H13" s="1">
        <v>38.299999999999997</v>
      </c>
      <c r="I13" s="1">
        <v>59.2</v>
      </c>
      <c r="J13" s="5">
        <v>1.5385</v>
      </c>
      <c r="K13">
        <f t="shared" si="0"/>
        <v>40.257297475116232</v>
      </c>
    </row>
    <row r="14" spans="1:13" x14ac:dyDescent="0.3">
      <c r="A14" s="2">
        <v>13</v>
      </c>
      <c r="B14" s="2" t="s">
        <v>3</v>
      </c>
      <c r="C14" s="2">
        <v>30</v>
      </c>
      <c r="D14" s="2">
        <v>8000</v>
      </c>
      <c r="E14" s="2">
        <v>100</v>
      </c>
      <c r="F14" s="2">
        <v>6.8</v>
      </c>
      <c r="G14" s="2">
        <v>29.1</v>
      </c>
      <c r="H14" s="2">
        <v>14.9</v>
      </c>
      <c r="I14" s="2">
        <v>52.7</v>
      </c>
      <c r="J14" s="2">
        <v>0.80349999999999999</v>
      </c>
      <c r="K14">
        <f t="shared" si="0"/>
        <v>16.378339354159198</v>
      </c>
      <c r="L14" s="3"/>
      <c r="M14" s="2" t="s">
        <v>33</v>
      </c>
    </row>
    <row r="15" spans="1:13" x14ac:dyDescent="0.3">
      <c r="A15" s="2">
        <v>14</v>
      </c>
      <c r="B15" s="2" t="s">
        <v>3</v>
      </c>
      <c r="C15" s="3">
        <v>50</v>
      </c>
      <c r="D15" s="3">
        <v>10000</v>
      </c>
      <c r="E15" s="3">
        <v>80</v>
      </c>
      <c r="F15" s="3">
        <v>11.9</v>
      </c>
      <c r="G15" s="3">
        <v>67.599999999999994</v>
      </c>
      <c r="H15" s="3">
        <v>25.3</v>
      </c>
      <c r="I15" s="3">
        <v>61.1</v>
      </c>
      <c r="J15">
        <v>0.71300000000000008</v>
      </c>
      <c r="K15">
        <f t="shared" si="0"/>
        <v>27.958898404622456</v>
      </c>
      <c r="M15" t="s">
        <v>34</v>
      </c>
    </row>
    <row r="16" spans="1:13" x14ac:dyDescent="0.3">
      <c r="A16">
        <v>15</v>
      </c>
      <c r="B16" t="s">
        <v>3</v>
      </c>
      <c r="C16">
        <v>80</v>
      </c>
      <c r="D16">
        <v>3000</v>
      </c>
      <c r="E16">
        <v>50</v>
      </c>
      <c r="F16">
        <v>23.9</v>
      </c>
      <c r="G16">
        <v>33.5</v>
      </c>
      <c r="H16">
        <v>48.8</v>
      </c>
      <c r="I16">
        <v>70.8</v>
      </c>
      <c r="J16">
        <v>0.58850000000000002</v>
      </c>
      <c r="K16">
        <f t="shared" si="0"/>
        <v>54.338292207245523</v>
      </c>
    </row>
    <row r="17" spans="1:11" x14ac:dyDescent="0.3">
      <c r="A17">
        <v>16</v>
      </c>
      <c r="B17" t="s">
        <v>3</v>
      </c>
      <c r="C17">
        <v>100</v>
      </c>
      <c r="D17">
        <v>5000</v>
      </c>
      <c r="E17">
        <v>30</v>
      </c>
      <c r="F17">
        <v>22.2</v>
      </c>
      <c r="G17">
        <v>40.6</v>
      </c>
      <c r="H17">
        <v>50</v>
      </c>
      <c r="I17">
        <v>86.1</v>
      </c>
      <c r="J17">
        <v>0.39100000000000001</v>
      </c>
      <c r="K17">
        <f t="shared" si="0"/>
        <v>54.706855146315988</v>
      </c>
    </row>
    <row r="20" spans="1:11" x14ac:dyDescent="0.3">
      <c r="B20" t="s">
        <v>4</v>
      </c>
    </row>
    <row r="21" spans="1:11" x14ac:dyDescent="0.3">
      <c r="B21" t="s">
        <v>9</v>
      </c>
    </row>
    <row r="22" spans="1:11" x14ac:dyDescent="0.3">
      <c r="A22" t="s">
        <v>27</v>
      </c>
      <c r="B22" t="s">
        <v>3</v>
      </c>
      <c r="C22">
        <v>50</v>
      </c>
      <c r="D22">
        <v>5000</v>
      </c>
      <c r="E22">
        <v>100</v>
      </c>
      <c r="J22">
        <f>AVERAGE([1]Sheet1!B37:D37)</f>
        <v>1.2765</v>
      </c>
    </row>
    <row r="23" spans="1:11" x14ac:dyDescent="0.3">
      <c r="A23" t="s">
        <v>28</v>
      </c>
      <c r="B23" t="s">
        <v>2</v>
      </c>
      <c r="C23">
        <v>50</v>
      </c>
      <c r="D23">
        <v>5000</v>
      </c>
      <c r="E23">
        <v>100</v>
      </c>
      <c r="J23">
        <f>AVERAGE([1]Sheet1!C33:D33)</f>
        <v>1.9530000000000001</v>
      </c>
    </row>
    <row r="25" spans="1:11" x14ac:dyDescent="0.3">
      <c r="A25" t="s">
        <v>10</v>
      </c>
      <c r="B25" s="1" t="s">
        <v>3</v>
      </c>
      <c r="C25" s="1">
        <v>50</v>
      </c>
      <c r="D25" s="1">
        <v>5000</v>
      </c>
      <c r="E25" s="1">
        <v>50</v>
      </c>
      <c r="F25" s="1">
        <v>4.0999999999999996</v>
      </c>
      <c r="G25" s="1">
        <v>8.6</v>
      </c>
      <c r="H25" s="1">
        <v>1.8</v>
      </c>
      <c r="I25" s="1">
        <v>5.7</v>
      </c>
      <c r="J25">
        <f>AVERAGE([1]Sheet1!B23:D23)</f>
        <v>0.34950000000000003</v>
      </c>
      <c r="K25">
        <f t="shared" si="0"/>
        <v>4.4777226354476216</v>
      </c>
    </row>
    <row r="26" spans="1:11" x14ac:dyDescent="0.3">
      <c r="A26" t="s">
        <v>11</v>
      </c>
      <c r="B26" s="1" t="s">
        <v>3</v>
      </c>
      <c r="C26" s="1">
        <v>50</v>
      </c>
      <c r="D26" s="1">
        <v>10000</v>
      </c>
      <c r="E26" s="1">
        <v>50</v>
      </c>
      <c r="F26" s="1">
        <v>4.2</v>
      </c>
      <c r="G26" s="1">
        <v>6.4</v>
      </c>
      <c r="H26" s="1">
        <v>1.9</v>
      </c>
      <c r="I26" s="1">
        <v>4.5</v>
      </c>
      <c r="J26">
        <f>AVERAGE([1]Sheet1!B24:D24)</f>
        <v>0.49</v>
      </c>
      <c r="K26">
        <f t="shared" si="0"/>
        <v>4.6097722286464435</v>
      </c>
    </row>
    <row r="27" spans="1:11" x14ac:dyDescent="0.3">
      <c r="A27" t="s">
        <v>12</v>
      </c>
      <c r="B27" s="1" t="s">
        <v>3</v>
      </c>
      <c r="C27" s="1">
        <v>100</v>
      </c>
      <c r="D27" s="1">
        <v>5000</v>
      </c>
      <c r="E27" s="1">
        <v>100</v>
      </c>
      <c r="F27" s="1">
        <v>14.3</v>
      </c>
      <c r="G27" s="1">
        <v>24.1</v>
      </c>
      <c r="H27" s="1">
        <v>5.3</v>
      </c>
      <c r="I27" s="1">
        <v>9.9</v>
      </c>
      <c r="J27">
        <f>AVERAGE([1]Sheet1!B25:D25)</f>
        <v>0.95650000000000002</v>
      </c>
      <c r="K27">
        <f t="shared" si="0"/>
        <v>15.250573759698355</v>
      </c>
    </row>
    <row r="28" spans="1:11" x14ac:dyDescent="0.3">
      <c r="A28" t="s">
        <v>13</v>
      </c>
      <c r="B28" s="1" t="s">
        <v>3</v>
      </c>
      <c r="C28" s="1">
        <v>100</v>
      </c>
      <c r="D28" s="1">
        <v>10000</v>
      </c>
      <c r="E28" s="1">
        <v>100</v>
      </c>
      <c r="F28" s="1">
        <v>12.3</v>
      </c>
      <c r="G28" s="1">
        <v>17.5</v>
      </c>
      <c r="H28" s="1">
        <v>3.2</v>
      </c>
      <c r="I28" s="1">
        <v>5.8</v>
      </c>
      <c r="J28">
        <f>AVERAGE([1]Sheet1!B26:D26)</f>
        <v>0.64200000000000002</v>
      </c>
      <c r="K28">
        <f t="shared" si="0"/>
        <v>12.70944530654269</v>
      </c>
    </row>
    <row r="29" spans="1:11" x14ac:dyDescent="0.3">
      <c r="A29" t="s">
        <v>14</v>
      </c>
      <c r="B29" t="s">
        <v>2</v>
      </c>
      <c r="C29">
        <v>50</v>
      </c>
      <c r="D29">
        <v>5000</v>
      </c>
      <c r="E29">
        <v>50</v>
      </c>
      <c r="F29">
        <v>19.8</v>
      </c>
      <c r="G29">
        <v>25.6</v>
      </c>
      <c r="H29">
        <v>5.0999999999999996</v>
      </c>
      <c r="I29">
        <v>7.8</v>
      </c>
      <c r="J29">
        <f>AVERAGE([1]Sheet1!B27:D27)</f>
        <v>0.9375</v>
      </c>
      <c r="K29">
        <f t="shared" si="0"/>
        <v>20.446271053666486</v>
      </c>
    </row>
    <row r="30" spans="1:11" x14ac:dyDescent="0.3">
      <c r="A30" t="s">
        <v>15</v>
      </c>
      <c r="B30" t="s">
        <v>2</v>
      </c>
      <c r="C30">
        <v>50</v>
      </c>
      <c r="D30">
        <v>10000</v>
      </c>
      <c r="E30">
        <v>50</v>
      </c>
      <c r="F30">
        <v>8.1999999999999993</v>
      </c>
      <c r="G30">
        <v>18.7</v>
      </c>
      <c r="H30">
        <v>2.2000000000000002</v>
      </c>
      <c r="I30">
        <v>4.3</v>
      </c>
      <c r="J30">
        <f>AVERAGE([1]Sheet1!B20:D20)</f>
        <v>0.54500000000000004</v>
      </c>
      <c r="K30">
        <f t="shared" si="0"/>
        <v>8.4899941107164505</v>
      </c>
    </row>
    <row r="31" spans="1:11" x14ac:dyDescent="0.3">
      <c r="A31" t="s">
        <v>16</v>
      </c>
      <c r="B31" t="s">
        <v>2</v>
      </c>
      <c r="C31">
        <v>100</v>
      </c>
      <c r="D31">
        <v>5000</v>
      </c>
      <c r="E31">
        <v>100</v>
      </c>
      <c r="F31">
        <v>21.1</v>
      </c>
      <c r="G31">
        <v>43.2</v>
      </c>
      <c r="H31">
        <v>1.9</v>
      </c>
      <c r="I31">
        <v>4.2</v>
      </c>
      <c r="J31">
        <f>AVERAGE([1]Sheet1!B21:D21)</f>
        <v>0.59199999999999997</v>
      </c>
      <c r="K31">
        <f t="shared" si="0"/>
        <v>21.185372312045878</v>
      </c>
    </row>
    <row r="32" spans="1:11" x14ac:dyDescent="0.3">
      <c r="A32" t="s">
        <v>17</v>
      </c>
      <c r="B32" t="s">
        <v>2</v>
      </c>
      <c r="C32">
        <v>100</v>
      </c>
      <c r="D32">
        <v>10000</v>
      </c>
      <c r="E32">
        <v>100</v>
      </c>
      <c r="F32">
        <v>22.4</v>
      </c>
      <c r="G32">
        <v>48.7</v>
      </c>
      <c r="H32">
        <v>3.4</v>
      </c>
      <c r="I32">
        <v>5.3</v>
      </c>
      <c r="J32">
        <f>AVERAGE([1]Sheet1!B22:D22)</f>
        <v>0.84299999999999997</v>
      </c>
      <c r="K32">
        <f t="shared" si="0"/>
        <v>22.656566377101363</v>
      </c>
    </row>
    <row r="33" spans="1:15" x14ac:dyDescent="0.3">
      <c r="A33" t="s">
        <v>18</v>
      </c>
      <c r="B33" s="1" t="s">
        <v>3</v>
      </c>
      <c r="C33" s="1">
        <v>50</v>
      </c>
      <c r="D33" s="1">
        <v>10000</v>
      </c>
      <c r="E33" s="1">
        <v>100</v>
      </c>
      <c r="F33" s="1">
        <v>10.199999999999999</v>
      </c>
      <c r="G33" s="1">
        <v>14.3</v>
      </c>
      <c r="H33" s="1">
        <v>2.9</v>
      </c>
      <c r="I33" s="1">
        <v>4.8</v>
      </c>
      <c r="J33">
        <f>AVERAGE([1]Sheet1!B28:D28)</f>
        <v>0.53600000000000003</v>
      </c>
      <c r="K33">
        <f t="shared" si="0"/>
        <v>10.604244433244643</v>
      </c>
      <c r="N33" t="s">
        <v>42</v>
      </c>
    </row>
    <row r="34" spans="1:15" x14ac:dyDescent="0.3">
      <c r="A34" t="s">
        <v>19</v>
      </c>
      <c r="B34" s="1" t="s">
        <v>3</v>
      </c>
      <c r="C34" s="1">
        <v>50</v>
      </c>
      <c r="D34" s="1">
        <v>5000</v>
      </c>
      <c r="E34" s="1">
        <v>100</v>
      </c>
      <c r="F34" s="4">
        <v>0</v>
      </c>
      <c r="G34" s="4">
        <v>0</v>
      </c>
      <c r="H34" s="4">
        <v>0</v>
      </c>
      <c r="I34" s="4">
        <v>0</v>
      </c>
      <c r="J34">
        <f>AVERAGE([1]Sheet1!B29:D29)</f>
        <v>0.59250000000000003</v>
      </c>
      <c r="M34" t="s">
        <v>35</v>
      </c>
      <c r="N34" t="s">
        <v>43</v>
      </c>
    </row>
    <row r="35" spans="1:15" x14ac:dyDescent="0.3">
      <c r="A35" t="s">
        <v>20</v>
      </c>
      <c r="B35" s="1" t="s">
        <v>3</v>
      </c>
      <c r="C35" s="1">
        <v>100</v>
      </c>
      <c r="D35" s="1">
        <v>10000</v>
      </c>
      <c r="E35" s="1">
        <v>50</v>
      </c>
      <c r="F35" s="1">
        <v>5.0999999999999996</v>
      </c>
      <c r="G35" s="1">
        <v>9.1999999999999993</v>
      </c>
      <c r="H35" s="1">
        <v>2.2000000000000002</v>
      </c>
      <c r="I35" s="1">
        <v>3.2</v>
      </c>
      <c r="J35">
        <f>AVERAGE([1]Sheet1!B30:D30)</f>
        <v>0.68700000000000006</v>
      </c>
      <c r="K35">
        <f t="shared" si="0"/>
        <v>5.5542776307995263</v>
      </c>
      <c r="M35">
        <v>3.722</v>
      </c>
      <c r="N35">
        <v>4.0149999999999997</v>
      </c>
      <c r="O35">
        <v>2.9780000000000002</v>
      </c>
    </row>
    <row r="36" spans="1:15" x14ac:dyDescent="0.3">
      <c r="A36" t="s">
        <v>21</v>
      </c>
      <c r="B36" s="1" t="s">
        <v>3</v>
      </c>
      <c r="C36" s="1">
        <v>100</v>
      </c>
      <c r="D36" s="1">
        <v>5000</v>
      </c>
      <c r="E36" s="1">
        <v>50</v>
      </c>
      <c r="F36" s="1">
        <v>11.4</v>
      </c>
      <c r="G36" s="1">
        <v>16.100000000000001</v>
      </c>
      <c r="H36" s="1">
        <v>2.2000000000000002</v>
      </c>
      <c r="I36" s="1">
        <v>4.5</v>
      </c>
      <c r="J36">
        <f>AVERAGE([1]Sheet1!B31:D31)</f>
        <v>0.59800000000000009</v>
      </c>
      <c r="K36">
        <f t="shared" si="0"/>
        <v>11.610340218959994</v>
      </c>
    </row>
    <row r="37" spans="1:15" x14ac:dyDescent="0.3">
      <c r="A37" t="s">
        <v>22</v>
      </c>
      <c r="B37" t="s">
        <v>2</v>
      </c>
      <c r="C37">
        <v>50</v>
      </c>
      <c r="D37">
        <v>10000</v>
      </c>
      <c r="E37">
        <v>100</v>
      </c>
      <c r="F37">
        <v>7.5</v>
      </c>
      <c r="G37">
        <v>10</v>
      </c>
      <c r="H37">
        <v>3.1</v>
      </c>
      <c r="I37">
        <v>5.2</v>
      </c>
      <c r="J37">
        <f>AVERAGE([1]Sheet1!B34:D34)</f>
        <v>0.68700000000000006</v>
      </c>
      <c r="K37">
        <f t="shared" si="0"/>
        <v>8.1154174261093921</v>
      </c>
    </row>
    <row r="38" spans="1:15" x14ac:dyDescent="0.3">
      <c r="A38" t="s">
        <v>23</v>
      </c>
      <c r="B38" t="s">
        <v>2</v>
      </c>
      <c r="C38">
        <v>50</v>
      </c>
      <c r="D38">
        <v>5000</v>
      </c>
      <c r="E38">
        <v>100</v>
      </c>
      <c r="F38">
        <v>8.1999999999999993</v>
      </c>
      <c r="G38">
        <v>10.9</v>
      </c>
      <c r="H38">
        <v>1</v>
      </c>
      <c r="I38">
        <v>3.7</v>
      </c>
      <c r="J38">
        <f>AVERAGE([1]Sheet1!B35:D35)</f>
        <v>0.7995000000000001</v>
      </c>
      <c r="K38">
        <f t="shared" si="0"/>
        <v>8.2607505712253531</v>
      </c>
    </row>
    <row r="39" spans="1:15" x14ac:dyDescent="0.3">
      <c r="A39" t="s">
        <v>24</v>
      </c>
      <c r="B39" t="s">
        <v>2</v>
      </c>
      <c r="C39">
        <v>100</v>
      </c>
      <c r="D39">
        <v>10000</v>
      </c>
      <c r="E39">
        <v>50</v>
      </c>
      <c r="F39">
        <v>10.3</v>
      </c>
      <c r="G39">
        <v>14.7</v>
      </c>
      <c r="H39">
        <v>0.6</v>
      </c>
      <c r="I39">
        <v>2.5</v>
      </c>
      <c r="J39">
        <f>AVERAGE([1]Sheet1!B36:D36)</f>
        <v>0.47</v>
      </c>
      <c r="K39">
        <f t="shared" si="0"/>
        <v>10.31746092796091</v>
      </c>
    </row>
    <row r="40" spans="1:15" x14ac:dyDescent="0.3">
      <c r="A40" t="s">
        <v>25</v>
      </c>
      <c r="B40" t="s">
        <v>2</v>
      </c>
      <c r="C40">
        <v>100</v>
      </c>
      <c r="D40">
        <v>5000</v>
      </c>
      <c r="E40">
        <v>50</v>
      </c>
      <c r="F40" s="2" t="s">
        <v>36</v>
      </c>
      <c r="G40" s="2" t="s">
        <v>36</v>
      </c>
      <c r="H40" s="2" t="s">
        <v>36</v>
      </c>
      <c r="I40" s="2" t="s">
        <v>36</v>
      </c>
      <c r="J40">
        <f>AVERAGE([1]Sheet1!B32:D32)</f>
        <v>0.76049999999999995</v>
      </c>
      <c r="M40" s="2" t="s">
        <v>37</v>
      </c>
    </row>
    <row r="42" spans="1:15" x14ac:dyDescent="0.3">
      <c r="B42" t="s">
        <v>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BHY</dc:creator>
  <cp:lastModifiedBy>yu zhang</cp:lastModifiedBy>
  <dcterms:created xsi:type="dcterms:W3CDTF">2015-06-05T18:19:34Z</dcterms:created>
  <dcterms:modified xsi:type="dcterms:W3CDTF">2026-10-18T02:53:18Z</dcterms:modified>
</cp:coreProperties>
</file>